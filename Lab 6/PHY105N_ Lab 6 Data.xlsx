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<sst xmlns="http://schemas.openxmlformats.org/spreadsheetml/2006/main" count="10" uniqueCount="6">
  <si>
    <t>Mass (g) (+/- 0.5)</t>
  </si>
  <si>
    <t>Distance (mm) (+/- 0.2)</t>
  </si>
  <si>
    <t>F</t>
  </si>
  <si>
    <t>ln F</t>
  </si>
  <si>
    <t>ln R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</si>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</sst>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" displayName="Part_I_Data" name="Part_I_Data" id="1">
  <tableColumns count="5">
    <tableColumn name="Mass (g) (+/- 0.5)" id="1"/>
    <tableColumn name="Distance (mm) (+/- 0.2)" id="2"/>
    <tableColumn name="F" id="3"/>
    <tableColumn name="ln F" id="4"/>
    <tableColumn name="ln R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3:E23" displayName="Part_II_Data" name="Part_II_Data" id="2">
  <tableColumns count="5">
    <tableColumn name="Mass (g) (+/- 0.5)" id="1"/>
    <tableColumn name="Distance (mm) (+/- 0.2)" id="2"/>
    <tableColumn name="f" id="3"/>
    <tableColumn name="ln F" id="4"/>
    <tableColumn name="ln R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10.0</v>
      </c>
      <c r="B2" s="3">
        <v>18.7</v>
      </c>
      <c r="C2" s="4">
        <f t="shared" ref="C2:C11" si="1">MULTIPLY(A2,9.81)</f>
        <v>98.1</v>
      </c>
      <c r="D2" s="5">
        <f t="shared" ref="D2:D11" si="2">LOG(C2,EXP(1))</f>
        <v>4.585987367</v>
      </c>
      <c r="E2" s="5">
        <f t="shared" ref="E2:E11" si="3">LOG(B2,EXP(1))</f>
        <v>2.928523524</v>
      </c>
    </row>
    <row r="3" ht="22.5" customHeight="1">
      <c r="A3" s="3">
        <v>20.0</v>
      </c>
      <c r="B3" s="3">
        <v>16.6</v>
      </c>
      <c r="C3" s="4">
        <f t="shared" si="1"/>
        <v>196.2</v>
      </c>
      <c r="D3" s="5">
        <f t="shared" si="2"/>
        <v>5.279134547</v>
      </c>
      <c r="E3" s="5">
        <f t="shared" si="3"/>
        <v>2.809402695</v>
      </c>
    </row>
    <row r="4" ht="22.5" customHeight="1">
      <c r="A4" s="3">
        <v>30.0</v>
      </c>
      <c r="B4" s="3">
        <v>13.0</v>
      </c>
      <c r="C4" s="4">
        <f t="shared" si="1"/>
        <v>294.3</v>
      </c>
      <c r="D4" s="5">
        <f t="shared" si="2"/>
        <v>5.684599655</v>
      </c>
      <c r="E4" s="5">
        <f t="shared" si="3"/>
        <v>2.564949357</v>
      </c>
    </row>
    <row r="5" ht="22.5" customHeight="1">
      <c r="A5" s="3">
        <v>40.0</v>
      </c>
      <c r="B5" s="3">
        <v>12.2</v>
      </c>
      <c r="C5" s="4">
        <f t="shared" si="1"/>
        <v>392.4</v>
      </c>
      <c r="D5" s="5">
        <f t="shared" si="2"/>
        <v>5.972281728</v>
      </c>
      <c r="E5" s="5">
        <f t="shared" si="3"/>
        <v>2.501435952</v>
      </c>
    </row>
    <row r="6" ht="22.5" customHeight="1">
      <c r="A6" s="3">
        <v>50.0</v>
      </c>
      <c r="B6" s="3">
        <v>10.1</v>
      </c>
      <c r="C6" s="4">
        <f t="shared" si="1"/>
        <v>490.5</v>
      </c>
      <c r="D6" s="5">
        <f t="shared" si="2"/>
        <v>6.195425279</v>
      </c>
      <c r="E6" s="5">
        <f t="shared" si="3"/>
        <v>2.312535424</v>
      </c>
    </row>
    <row r="7" ht="22.5" customHeight="1">
      <c r="A7" s="3">
        <v>60.0</v>
      </c>
      <c r="B7" s="3">
        <v>9.5</v>
      </c>
      <c r="C7" s="4">
        <f t="shared" si="1"/>
        <v>588.6</v>
      </c>
      <c r="D7" s="5">
        <f t="shared" si="2"/>
        <v>6.377746836</v>
      </c>
      <c r="E7" s="5">
        <f t="shared" si="3"/>
        <v>2.251291799</v>
      </c>
    </row>
    <row r="8" ht="22.5" customHeight="1">
      <c r="A8" s="3">
        <v>70.0</v>
      </c>
      <c r="B8" s="3">
        <v>9.1</v>
      </c>
      <c r="C8" s="4">
        <f t="shared" si="1"/>
        <v>686.7</v>
      </c>
      <c r="D8" s="5">
        <f t="shared" si="2"/>
        <v>6.531897516</v>
      </c>
      <c r="E8" s="5">
        <f t="shared" si="3"/>
        <v>2.208274414</v>
      </c>
    </row>
    <row r="9" ht="22.5" customHeight="1">
      <c r="A9" s="3">
        <v>80.0</v>
      </c>
      <c r="B9" s="3">
        <v>8.2</v>
      </c>
      <c r="C9" s="4">
        <f t="shared" si="1"/>
        <v>784.8</v>
      </c>
      <c r="D9" s="5">
        <f t="shared" si="2"/>
        <v>6.665428908</v>
      </c>
      <c r="E9" s="5">
        <f t="shared" si="3"/>
        <v>2.104134154</v>
      </c>
    </row>
    <row r="10" ht="22.5" customHeight="1">
      <c r="A10" s="3">
        <v>90.0</v>
      </c>
      <c r="B10" s="3">
        <v>7.7</v>
      </c>
      <c r="C10" s="4">
        <f t="shared" si="1"/>
        <v>882.9</v>
      </c>
      <c r="D10" s="5">
        <f t="shared" si="2"/>
        <v>6.783211944</v>
      </c>
      <c r="E10" s="5">
        <f t="shared" si="3"/>
        <v>2.041220329</v>
      </c>
    </row>
    <row r="11" ht="22.5" customHeight="1">
      <c r="A11" s="3">
        <v>100.0</v>
      </c>
      <c r="B11" s="3">
        <v>7.3</v>
      </c>
      <c r="C11" s="4">
        <f t="shared" si="1"/>
        <v>981</v>
      </c>
      <c r="D11" s="5">
        <f t="shared" si="2"/>
        <v>6.88857246</v>
      </c>
      <c r="E11" s="5">
        <f t="shared" si="3"/>
        <v>1.987874348</v>
      </c>
    </row>
    <row r="13" ht="22.5" customHeight="1">
      <c r="A13" s="1" t="s">
        <v>0</v>
      </c>
      <c r="B13" s="1" t="s">
        <v>1</v>
      </c>
      <c r="C13" s="1" t="s">
        <v>5</v>
      </c>
      <c r="D13" s="1" t="s">
        <v>3</v>
      </c>
      <c r="E13" s="1" t="s">
        <v>4</v>
      </c>
    </row>
    <row r="14" ht="22.5" customHeight="1">
      <c r="A14" s="3">
        <v>10.0</v>
      </c>
      <c r="B14" s="3">
        <v>25.3</v>
      </c>
      <c r="C14" s="4">
        <f t="shared" ref="C14:C23" si="4">MULTIPLY(A14,9.81)</f>
        <v>98.1</v>
      </c>
      <c r="D14" s="5">
        <f t="shared" ref="D14:D23" si="5">LOG(C14,EXP(1))</f>
        <v>4.585987367</v>
      </c>
      <c r="E14" s="5">
        <f t="shared" ref="E14:E23" si="6">LOG(B14,EXP(1))</f>
        <v>3.230804396</v>
      </c>
    </row>
    <row r="15" ht="22.5" customHeight="1">
      <c r="A15" s="3">
        <v>20.0</v>
      </c>
      <c r="B15" s="3">
        <v>22.5</v>
      </c>
      <c r="C15" s="4">
        <f t="shared" si="4"/>
        <v>196.2</v>
      </c>
      <c r="D15" s="5">
        <f t="shared" si="5"/>
        <v>5.279134547</v>
      </c>
      <c r="E15" s="5">
        <f t="shared" si="6"/>
        <v>3.113515309</v>
      </c>
    </row>
    <row r="16" ht="22.5" customHeight="1">
      <c r="A16" s="3">
        <v>30.0</v>
      </c>
      <c r="B16" s="3">
        <v>20.5</v>
      </c>
      <c r="C16" s="4">
        <f t="shared" si="4"/>
        <v>294.3</v>
      </c>
      <c r="D16" s="5">
        <f t="shared" si="5"/>
        <v>5.684599655</v>
      </c>
      <c r="E16" s="5">
        <f t="shared" si="6"/>
        <v>3.020424886</v>
      </c>
    </row>
    <row r="17" ht="22.5" customHeight="1">
      <c r="A17" s="3">
        <v>40.0</v>
      </c>
      <c r="B17" s="3">
        <v>18.8</v>
      </c>
      <c r="C17" s="4">
        <f t="shared" si="4"/>
        <v>392.4</v>
      </c>
      <c r="D17" s="5">
        <f t="shared" si="5"/>
        <v>5.972281728</v>
      </c>
      <c r="E17" s="5">
        <f t="shared" si="6"/>
        <v>2.93385687</v>
      </c>
    </row>
    <row r="18" ht="22.5" customHeight="1">
      <c r="A18" s="3">
        <v>50.0</v>
      </c>
      <c r="B18" s="3">
        <v>17.5</v>
      </c>
      <c r="C18" s="4">
        <f t="shared" si="4"/>
        <v>490.5</v>
      </c>
      <c r="D18" s="5">
        <f t="shared" si="5"/>
        <v>6.195425279</v>
      </c>
      <c r="E18" s="5">
        <f t="shared" si="6"/>
        <v>2.862200881</v>
      </c>
    </row>
    <row r="19" ht="22.5" customHeight="1">
      <c r="A19" s="3">
        <v>60.0</v>
      </c>
      <c r="B19" s="3">
        <v>15.5</v>
      </c>
      <c r="C19" s="4">
        <f t="shared" si="4"/>
        <v>588.6</v>
      </c>
      <c r="D19" s="5">
        <f t="shared" si="5"/>
        <v>6.377746836</v>
      </c>
      <c r="E19" s="5">
        <f t="shared" si="6"/>
        <v>2.740840024</v>
      </c>
    </row>
    <row r="20" ht="22.5" customHeight="1">
      <c r="A20" s="3">
        <v>70.0</v>
      </c>
      <c r="B20" s="3">
        <v>14.7</v>
      </c>
      <c r="C20" s="4">
        <f t="shared" si="4"/>
        <v>686.7</v>
      </c>
      <c r="D20" s="5">
        <f t="shared" si="5"/>
        <v>6.531897516</v>
      </c>
      <c r="E20" s="5">
        <f t="shared" si="6"/>
        <v>2.687847494</v>
      </c>
    </row>
    <row r="21" ht="22.5" customHeight="1">
      <c r="A21" s="3">
        <v>80.0</v>
      </c>
      <c r="B21" s="3">
        <v>14.0</v>
      </c>
      <c r="C21" s="4">
        <f t="shared" si="4"/>
        <v>784.8</v>
      </c>
      <c r="D21" s="5">
        <f t="shared" si="5"/>
        <v>6.665428908</v>
      </c>
      <c r="E21" s="5">
        <f t="shared" si="6"/>
        <v>2.63905733</v>
      </c>
    </row>
    <row r="22" ht="22.5" customHeight="1">
      <c r="A22" s="3">
        <v>90.0</v>
      </c>
      <c r="B22" s="3">
        <v>13.2</v>
      </c>
      <c r="C22" s="4">
        <f t="shared" si="4"/>
        <v>882.9</v>
      </c>
      <c r="D22" s="5">
        <f t="shared" si="5"/>
        <v>6.783211944</v>
      </c>
      <c r="E22" s="5">
        <f t="shared" si="6"/>
        <v>2.58021683</v>
      </c>
    </row>
    <row r="23" ht="22.5" customHeight="1">
      <c r="A23" s="3">
        <v>100.0</v>
      </c>
      <c r="B23" s="3">
        <v>12.0</v>
      </c>
      <c r="C23" s="4">
        <f t="shared" si="4"/>
        <v>981</v>
      </c>
      <c r="D23" s="5">
        <f t="shared" si="5"/>
        <v>6.88857246</v>
      </c>
      <c r="E23" s="5">
        <f t="shared" si="6"/>
        <v>2.48490665</v>
      </c>
    </row>
  </sheetData>
  <drawing r:id="rId1"/>
  <tableParts count="2">
    <tablePart r:id="rId4"/>
    <tablePart r:id="rId5"/>
  </tableParts>
</worksheet>
</file>
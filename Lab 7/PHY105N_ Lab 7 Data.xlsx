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<sst xmlns="http://schemas.openxmlformats.org/spreadsheetml/2006/main" count="20" uniqueCount="11">
  <si>
    <t>Change in voltage (delta V) in Volts</t>
  </si>
  <si>
    <t>Radius (R) in mm</t>
  </si>
  <si>
    <t>Current (I) in Amps</t>
  </si>
  <si>
    <t>Charge (+/-)</t>
  </si>
  <si>
    <t>125R^2V</t>
  </si>
  <si>
    <t>32u^2*N^2*i^2</t>
  </si>
  <si>
    <t xml:space="preserve">y </t>
  </si>
  <si>
    <t>q/m</t>
  </si>
  <si>
    <t>r^2</t>
  </si>
  <si>
    <t>-</t>
  </si>
  <si>
    <t>r(radius of the beam) = 75 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</si>
</sst>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1" xfId="0" applyAlignment="1" applyFont="1" applyNumberFormat="1">
      <alignment horizontal="center" readingOrder="0" shrinkToFit="0" vertical="center" wrapText="0"/>
    </xf>
    <xf borderId="0" fillId="0" fontId="1" numFmtId="11" xfId="0" applyAlignment="1" applyFont="1" applyNumberFormat="1">
      <alignment horizontal="center" shrinkToFit="0" vertical="center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I12" displayName="Part_I_Data_Set" name="Part_I_Data_Set" id="1">
  <tableColumns count="9">
    <tableColumn name="Change in voltage (delta V) in Volts" id="1"/>
    <tableColumn name="Radius (R) in mm" id="2"/>
    <tableColumn name="Current (I) in Amps" id="3"/>
    <tableColumn name="Charge (+/-)" id="4"/>
    <tableColumn name="125R^2V" id="5"/>
    <tableColumn name="32u^2*N^2*i^2" id="6"/>
    <tableColumn name="y " id="7"/>
    <tableColumn name="q/m" id="8"/>
    <tableColumn name="r^2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7" width="22.63"/>
  </cols>
  <sheetData>
    <row r="1">
      <c r="A1" s="1"/>
      <c r="B1" s="1"/>
      <c r="C1" s="1"/>
      <c r="D1" s="1"/>
      <c r="E1" s="1"/>
      <c r="F1" s="1"/>
      <c r="G1" s="1"/>
      <c r="H1" s="2"/>
    </row>
    <row r="2" ht="22.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</row>
    <row r="3" ht="22.5" customHeight="1">
      <c r="A3" s="5">
        <v>174.0</v>
      </c>
      <c r="B3" s="5">
        <f> 3.25 * 10</f>
        <v>32.5</v>
      </c>
      <c r="C3" s="5">
        <v>1.5</v>
      </c>
      <c r="D3" s="5" t="s">
        <v>9</v>
      </c>
      <c r="E3" s="6">
        <f t="shared" ref="E3:E12" si="1">125 * B3 * A3</f>
        <v>706875</v>
      </c>
      <c r="F3" s="6">
        <f t="shared" ref="F3:F12" si="2">32*((4*PI()*(10^(-7)))^2)*(130^2)*(1.5^2)</f>
        <v>0.000001921493542</v>
      </c>
      <c r="G3" s="6">
        <f t="shared" ref="G3:G12" si="3"> E3/F3</f>
        <v>367877895336</v>
      </c>
      <c r="H3" s="7">
        <f t="shared" ref="H3:H12" si="4"> G3/I3</f>
        <v>6540051473</v>
      </c>
      <c r="I3" s="5">
        <f t="shared" ref="I3:I12" si="5">7.5 ^2</f>
        <v>56.25</v>
      </c>
    </row>
    <row r="4" ht="22.5" customHeight="1">
      <c r="A4" s="5">
        <v>198.0</v>
      </c>
      <c r="B4" s="5">
        <v>37.5</v>
      </c>
      <c r="C4" s="5">
        <v>1.5</v>
      </c>
      <c r="D4" s="5" t="s">
        <v>9</v>
      </c>
      <c r="E4" s="6">
        <f t="shared" si="1"/>
        <v>928125</v>
      </c>
      <c r="F4" s="6">
        <f t="shared" si="2"/>
        <v>0.000001921493542</v>
      </c>
      <c r="G4" s="6">
        <f t="shared" si="3"/>
        <v>483022700773</v>
      </c>
      <c r="H4" s="8">
        <f t="shared" si="4"/>
        <v>8587070236</v>
      </c>
      <c r="I4" s="5">
        <f t="shared" si="5"/>
        <v>56.25</v>
      </c>
    </row>
    <row r="5" ht="22.5" customHeight="1">
      <c r="A5" s="5">
        <v>212.0</v>
      </c>
      <c r="B5" s="5">
        <v>39.0</v>
      </c>
      <c r="C5" s="5">
        <v>1.5</v>
      </c>
      <c r="D5" s="5" t="s">
        <v>9</v>
      </c>
      <c r="E5" s="6">
        <f t="shared" si="1"/>
        <v>1033500</v>
      </c>
      <c r="F5" s="6">
        <f t="shared" si="2"/>
        <v>0.000001921493542</v>
      </c>
      <c r="G5" s="6">
        <f t="shared" si="3"/>
        <v>537862853871</v>
      </c>
      <c r="H5" s="8">
        <f t="shared" si="4"/>
        <v>9562006291</v>
      </c>
      <c r="I5" s="5">
        <f t="shared" si="5"/>
        <v>56.25</v>
      </c>
    </row>
    <row r="6" ht="22.5" customHeight="1">
      <c r="A6" s="5">
        <v>240.0</v>
      </c>
      <c r="B6" s="5">
        <v>42.0</v>
      </c>
      <c r="C6" s="5">
        <v>1.5</v>
      </c>
      <c r="D6" s="5" t="s">
        <v>9</v>
      </c>
      <c r="E6" s="6">
        <f t="shared" si="1"/>
        <v>1260000</v>
      </c>
      <c r="F6" s="6">
        <f t="shared" si="2"/>
        <v>0.000001921493542</v>
      </c>
      <c r="G6" s="6">
        <f t="shared" si="3"/>
        <v>655739908928</v>
      </c>
      <c r="H6" s="8">
        <f t="shared" si="4"/>
        <v>11657598381</v>
      </c>
      <c r="I6" s="5">
        <f t="shared" si="5"/>
        <v>56.25</v>
      </c>
      <c r="K6" s="9" t="s">
        <v>10</v>
      </c>
    </row>
    <row r="7" ht="22.5" customHeight="1">
      <c r="A7" s="5">
        <v>266.0</v>
      </c>
      <c r="B7" s="5">
        <v>45.0</v>
      </c>
      <c r="C7" s="5">
        <v>1.5</v>
      </c>
      <c r="D7" s="5" t="s">
        <v>9</v>
      </c>
      <c r="E7" s="6">
        <f t="shared" si="1"/>
        <v>1496250</v>
      </c>
      <c r="F7" s="6">
        <f t="shared" si="2"/>
        <v>0.000001921493542</v>
      </c>
      <c r="G7" s="6">
        <f t="shared" si="3"/>
        <v>778691141852</v>
      </c>
      <c r="H7" s="8">
        <f t="shared" si="4"/>
        <v>13843398077</v>
      </c>
      <c r="I7" s="5">
        <f t="shared" si="5"/>
        <v>56.25</v>
      </c>
    </row>
    <row r="8" ht="22.5" customHeight="1">
      <c r="A8" s="5">
        <v>280.0</v>
      </c>
      <c r="B8" s="5">
        <v>50.0</v>
      </c>
      <c r="C8" s="5">
        <v>1.5</v>
      </c>
      <c r="D8" s="5" t="s">
        <v>9</v>
      </c>
      <c r="E8" s="6">
        <f t="shared" si="1"/>
        <v>1750000</v>
      </c>
      <c r="F8" s="6">
        <f t="shared" si="2"/>
        <v>0.000001921493542</v>
      </c>
      <c r="G8" s="6">
        <f t="shared" si="3"/>
        <v>910749873511</v>
      </c>
      <c r="H8" s="8">
        <f t="shared" si="4"/>
        <v>16191108862</v>
      </c>
      <c r="I8" s="5">
        <f t="shared" si="5"/>
        <v>56.25</v>
      </c>
    </row>
    <row r="9" ht="22.5" customHeight="1">
      <c r="A9" s="5">
        <v>310.0</v>
      </c>
      <c r="B9" s="5">
        <v>50.0</v>
      </c>
      <c r="C9" s="5">
        <v>1.5</v>
      </c>
      <c r="D9" s="5" t="s">
        <v>9</v>
      </c>
      <c r="E9" s="6">
        <f t="shared" si="1"/>
        <v>1937500</v>
      </c>
      <c r="F9" s="6">
        <f t="shared" si="2"/>
        <v>0.000001921493542</v>
      </c>
      <c r="G9" s="6">
        <f t="shared" si="3"/>
        <v>1008330217101</v>
      </c>
      <c r="H9" s="8">
        <f t="shared" si="4"/>
        <v>17925870526</v>
      </c>
      <c r="I9" s="5">
        <f t="shared" si="5"/>
        <v>56.25</v>
      </c>
    </row>
    <row r="10" ht="22.5" customHeight="1">
      <c r="A10" s="10">
        <v>342.0</v>
      </c>
      <c r="B10" s="10">
        <v>65.0</v>
      </c>
      <c r="C10" s="5">
        <v>1.5</v>
      </c>
      <c r="D10" s="5" t="s">
        <v>9</v>
      </c>
      <c r="E10" s="6">
        <f t="shared" si="1"/>
        <v>2778750</v>
      </c>
      <c r="F10" s="6">
        <f t="shared" si="2"/>
        <v>0.000001921493542</v>
      </c>
      <c r="G10" s="6">
        <f t="shared" si="3"/>
        <v>1446140692011</v>
      </c>
      <c r="H10" s="8">
        <f t="shared" si="4"/>
        <v>25709167858</v>
      </c>
      <c r="I10" s="5">
        <f t="shared" si="5"/>
        <v>56.25</v>
      </c>
    </row>
    <row r="11" ht="22.5" customHeight="1">
      <c r="A11" s="5">
        <v>348.0</v>
      </c>
      <c r="B11" s="5">
        <v>55.0</v>
      </c>
      <c r="C11" s="5">
        <v>1.5</v>
      </c>
      <c r="D11" s="5" t="s">
        <v>9</v>
      </c>
      <c r="E11" s="6">
        <f t="shared" si="1"/>
        <v>2392500</v>
      </c>
      <c r="F11" s="6">
        <f t="shared" si="2"/>
        <v>0.000001921493542</v>
      </c>
      <c r="G11" s="6">
        <f t="shared" si="3"/>
        <v>1245125184214</v>
      </c>
      <c r="H11" s="8">
        <f t="shared" si="4"/>
        <v>22135558830</v>
      </c>
      <c r="I11" s="5">
        <f t="shared" si="5"/>
        <v>56.25</v>
      </c>
    </row>
    <row r="12" ht="22.5" customHeight="1">
      <c r="A12" s="5">
        <v>416.0</v>
      </c>
      <c r="B12" s="5">
        <v>56.5</v>
      </c>
      <c r="C12" s="5">
        <v>1.5</v>
      </c>
      <c r="D12" s="5" t="s">
        <v>9</v>
      </c>
      <c r="E12" s="6">
        <f t="shared" si="1"/>
        <v>2938000</v>
      </c>
      <c r="F12" s="6">
        <f t="shared" si="2"/>
        <v>0.000001921493542</v>
      </c>
      <c r="G12" s="6">
        <f t="shared" si="3"/>
        <v>1529018930500</v>
      </c>
      <c r="H12" s="8">
        <f t="shared" si="4"/>
        <v>27182558764</v>
      </c>
      <c r="I12" s="5">
        <f t="shared" si="5"/>
        <v>56.25</v>
      </c>
    </row>
  </sheetData>
  <drawing r:id="rId1"/>
  <tableParts count="1">
    <tablePart r:id="rId3"/>
  </tableParts>
</worksheet>
</file>
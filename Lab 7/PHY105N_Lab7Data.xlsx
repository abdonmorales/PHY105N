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am226923_eid_utexas_edu/Documents/Fall 2025/PHY 105N/Lab 7/"/>
    </mc:Choice>
  </mc:AlternateContent>
  <xr:revisionPtr revIDLastSave="1" documentId="11_967603A4FC301176F290BC324C6E4ED848D31519" xr6:coauthVersionLast="47" xr6:coauthVersionMax="47" xr10:uidLastSave="{45D7CC86-AFEA-40BC-84D5-FB86F95452AF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F12" i="1"/>
  <c r="E12" i="1"/>
  <c r="G12" i="1" s="1"/>
  <c r="H12" i="1" s="1"/>
  <c r="I11" i="1"/>
  <c r="F11" i="1"/>
  <c r="E11" i="1"/>
  <c r="G11" i="1" s="1"/>
  <c r="H11" i="1" s="1"/>
  <c r="I10" i="1"/>
  <c r="F10" i="1"/>
  <c r="G10" i="1" s="1"/>
  <c r="H10" i="1" s="1"/>
  <c r="E10" i="1"/>
  <c r="I9" i="1"/>
  <c r="F9" i="1"/>
  <c r="E9" i="1"/>
  <c r="G9" i="1" s="1"/>
  <c r="H9" i="1" s="1"/>
  <c r="I8" i="1"/>
  <c r="F8" i="1"/>
  <c r="E8" i="1"/>
  <c r="G8" i="1" s="1"/>
  <c r="H8" i="1" s="1"/>
  <c r="I7" i="1"/>
  <c r="F7" i="1"/>
  <c r="E7" i="1"/>
  <c r="G7" i="1" s="1"/>
  <c r="H7" i="1" s="1"/>
  <c r="I6" i="1"/>
  <c r="F6" i="1"/>
  <c r="E6" i="1"/>
  <c r="G6" i="1" s="1"/>
  <c r="H6" i="1" s="1"/>
  <c r="I5" i="1"/>
  <c r="G5" i="1"/>
  <c r="H5" i="1" s="1"/>
  <c r="F5" i="1"/>
  <c r="E5" i="1"/>
  <c r="I4" i="1"/>
  <c r="F4" i="1"/>
  <c r="E4" i="1"/>
  <c r="G4" i="1" s="1"/>
  <c r="H4" i="1" s="1"/>
  <c r="I3" i="1"/>
  <c r="F3" i="1"/>
  <c r="E3" i="1"/>
  <c r="G3" i="1" s="1"/>
  <c r="H3" i="1" s="1"/>
  <c r="B3" i="1"/>
</calcChain>
</file>

<file path=xl/sharedStrings.xml><?xml version="1.0" encoding="utf-8"?>
<sst xmlns="http://schemas.openxmlformats.org/spreadsheetml/2006/main" count="19" uniqueCount="10">
  <si>
    <t>Change in voltage (delta V) in Volts</t>
  </si>
  <si>
    <t>Radius (R) in mm</t>
  </si>
  <si>
    <t>Current (I) in Amps</t>
  </si>
  <si>
    <t>Charge (+/-)</t>
  </si>
  <si>
    <t>125R^2V</t>
  </si>
  <si>
    <t>32u^2*N^2*i^2</t>
  </si>
  <si>
    <t xml:space="preserve">y </t>
  </si>
  <si>
    <t>q/m</t>
  </si>
  <si>
    <t>r^2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</si>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</sst>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_I_Data_Set" displayName="Part_I_Data_Set" ref="A2:I12">
  <tableColumns count="9">
    <tableColumn id="1" xr3:uid="{00000000-0010-0000-0000-000001000000}" name="Change in voltage (delta V) in Volts"/>
    <tableColumn id="2" xr3:uid="{00000000-0010-0000-0000-000002000000}" name="Radius (R) in mm"/>
    <tableColumn id="3" xr3:uid="{00000000-0010-0000-0000-000003000000}" name="Current (I) in Amps"/>
    <tableColumn id="4" xr3:uid="{00000000-0010-0000-0000-000004000000}" name="Charge (+/-)"/>
    <tableColumn id="5" xr3:uid="{00000000-0010-0000-0000-000005000000}" name="125R^2V"/>
    <tableColumn id="6" xr3:uid="{00000000-0010-0000-0000-000006000000}" name="32u^2*N^2*i^2"/>
    <tableColumn id="7" xr3:uid="{00000000-0010-0000-0000-000007000000}" name="y "/>
    <tableColumn id="8" xr3:uid="{00000000-0010-0000-0000-000008000000}" name="q/m"/>
    <tableColumn id="9" xr3:uid="{00000000-0010-0000-0000-000009000000}" name="r^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"/>
  <sheetViews>
    <sheetView tabSelected="1" workbookViewId="0">
      <pane ySplit="2" topLeftCell="A3" activePane="bottomLeft" state="frozen"/>
      <selection pane="bottomLeft" activeCell="J10" sqref="J10"/>
    </sheetView>
  </sheetViews>
  <sheetFormatPr defaultColWidth="12.6328125" defaultRowHeight="15.75" customHeight="1" x14ac:dyDescent="0.25"/>
  <cols>
    <col min="1" max="7" width="22.6328125" customWidth="1"/>
  </cols>
  <sheetData>
    <row r="1" spans="1:11" ht="12.5" x14ac:dyDescent="0.25">
      <c r="A1" s="1"/>
      <c r="B1" s="1"/>
      <c r="C1" s="1"/>
      <c r="D1" s="1"/>
      <c r="E1" s="1"/>
      <c r="F1" s="1"/>
      <c r="G1" s="1"/>
      <c r="H1" s="2"/>
    </row>
    <row r="2" spans="1:11" ht="22.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22.5" customHeight="1" x14ac:dyDescent="0.25">
      <c r="A3" s="5">
        <v>174</v>
      </c>
      <c r="B3" s="5">
        <f>3.25 * 10</f>
        <v>32.5</v>
      </c>
      <c r="C3" s="5">
        <v>1.5</v>
      </c>
      <c r="D3" s="5" t="s">
        <v>9</v>
      </c>
      <c r="E3" s="5">
        <f t="shared" ref="E3:E12" si="0">125 * B3 * A3</f>
        <v>706875</v>
      </c>
      <c r="F3" s="5">
        <f t="shared" ref="F3:F12" si="1">32*((4*PI()*(10^(-7)))^2)*(130^2)*(1.5^2)</f>
        <v>1.9214935416392849E-6</v>
      </c>
      <c r="G3" s="5">
        <f t="shared" ref="G3:G12" si="2">E3/F3</f>
        <v>367877895336.01208</v>
      </c>
      <c r="H3" s="6">
        <f t="shared" ref="H3:H12" si="3">G3/I3</f>
        <v>6540051472.6402149</v>
      </c>
      <c r="I3" s="5">
        <f t="shared" ref="I3:I12" si="4">7.5 ^2</f>
        <v>56.25</v>
      </c>
    </row>
    <row r="4" spans="1:11" ht="22.5" customHeight="1" x14ac:dyDescent="0.25">
      <c r="A4" s="5">
        <v>198</v>
      </c>
      <c r="B4" s="5">
        <v>37.5</v>
      </c>
      <c r="C4" s="5">
        <v>1.5</v>
      </c>
      <c r="D4" s="5" t="s">
        <v>9</v>
      </c>
      <c r="E4" s="5">
        <f t="shared" si="0"/>
        <v>928125</v>
      </c>
      <c r="F4" s="5">
        <f t="shared" si="1"/>
        <v>1.9214935416392849E-6</v>
      </c>
      <c r="G4" s="5">
        <f t="shared" si="2"/>
        <v>483022700772.74792</v>
      </c>
      <c r="H4" s="6">
        <f t="shared" si="3"/>
        <v>8587070235.9599628</v>
      </c>
      <c r="I4" s="5">
        <f t="shared" si="4"/>
        <v>56.25</v>
      </c>
    </row>
    <row r="5" spans="1:11" ht="22.5" customHeight="1" x14ac:dyDescent="0.25">
      <c r="A5" s="5">
        <v>212</v>
      </c>
      <c r="B5" s="5">
        <v>39</v>
      </c>
      <c r="C5" s="5">
        <v>1.5</v>
      </c>
      <c r="D5" s="5" t="s">
        <v>9</v>
      </c>
      <c r="E5" s="5">
        <f t="shared" si="0"/>
        <v>1033500</v>
      </c>
      <c r="F5" s="5">
        <f t="shared" si="1"/>
        <v>1.9214935416392849E-6</v>
      </c>
      <c r="G5" s="5">
        <f t="shared" si="2"/>
        <v>537862853870.58319</v>
      </c>
      <c r="H5" s="6">
        <f t="shared" si="3"/>
        <v>9562006291.0325909</v>
      </c>
      <c r="I5" s="5">
        <f t="shared" si="4"/>
        <v>56.25</v>
      </c>
    </row>
    <row r="6" spans="1:11" ht="22.5" customHeight="1" x14ac:dyDescent="0.25">
      <c r="A6" s="5">
        <v>240</v>
      </c>
      <c r="B6" s="5">
        <v>42</v>
      </c>
      <c r="C6" s="5">
        <v>1.5</v>
      </c>
      <c r="D6" s="5" t="s">
        <v>9</v>
      </c>
      <c r="E6" s="5">
        <f t="shared" si="0"/>
        <v>1260000</v>
      </c>
      <c r="F6" s="5">
        <f t="shared" si="1"/>
        <v>1.9214935416392849E-6</v>
      </c>
      <c r="G6" s="5">
        <f t="shared" si="2"/>
        <v>655739908927.85181</v>
      </c>
      <c r="H6" s="6">
        <f t="shared" si="3"/>
        <v>11657598380.939589</v>
      </c>
      <c r="I6" s="5">
        <f t="shared" si="4"/>
        <v>56.25</v>
      </c>
      <c r="K6" s="2"/>
    </row>
    <row r="7" spans="1:11" ht="22.5" customHeight="1" x14ac:dyDescent="0.25">
      <c r="A7" s="5">
        <v>266</v>
      </c>
      <c r="B7" s="5">
        <v>45</v>
      </c>
      <c r="C7" s="5">
        <v>1.5</v>
      </c>
      <c r="D7" s="5" t="s">
        <v>9</v>
      </c>
      <c r="E7" s="5">
        <f t="shared" si="0"/>
        <v>1496250</v>
      </c>
      <c r="F7" s="5">
        <f t="shared" si="1"/>
        <v>1.9214935416392849E-6</v>
      </c>
      <c r="G7" s="5">
        <f t="shared" si="2"/>
        <v>778691141851.82397</v>
      </c>
      <c r="H7" s="6">
        <f t="shared" si="3"/>
        <v>13843398077.365759</v>
      </c>
      <c r="I7" s="5">
        <f t="shared" si="4"/>
        <v>56.25</v>
      </c>
    </row>
    <row r="8" spans="1:11" ht="22.5" customHeight="1" x14ac:dyDescent="0.25">
      <c r="A8" s="5">
        <v>280</v>
      </c>
      <c r="B8" s="5">
        <v>50</v>
      </c>
      <c r="C8" s="5">
        <v>1.5</v>
      </c>
      <c r="D8" s="5" t="s">
        <v>9</v>
      </c>
      <c r="E8" s="5">
        <f t="shared" si="0"/>
        <v>1750000</v>
      </c>
      <c r="F8" s="5">
        <f t="shared" si="1"/>
        <v>1.9214935416392849E-6</v>
      </c>
      <c r="G8" s="5">
        <f t="shared" si="2"/>
        <v>910749873510.90527</v>
      </c>
      <c r="H8" s="6">
        <f t="shared" si="3"/>
        <v>16191108862.416094</v>
      </c>
      <c r="I8" s="5">
        <f t="shared" si="4"/>
        <v>56.25</v>
      </c>
    </row>
    <row r="9" spans="1:11" ht="22.5" customHeight="1" x14ac:dyDescent="0.25">
      <c r="A9" s="5">
        <v>310</v>
      </c>
      <c r="B9" s="5">
        <v>50</v>
      </c>
      <c r="C9" s="5">
        <v>1.5</v>
      </c>
      <c r="D9" s="5" t="s">
        <v>9</v>
      </c>
      <c r="E9" s="5">
        <f t="shared" si="0"/>
        <v>1937500</v>
      </c>
      <c r="F9" s="5">
        <f t="shared" si="1"/>
        <v>1.9214935416392849E-6</v>
      </c>
      <c r="G9" s="5">
        <f t="shared" si="2"/>
        <v>1008330217101.3594</v>
      </c>
      <c r="H9" s="6">
        <f t="shared" si="3"/>
        <v>17925870526.246387</v>
      </c>
      <c r="I9" s="5">
        <f t="shared" si="4"/>
        <v>56.25</v>
      </c>
    </row>
    <row r="10" spans="1:11" ht="22.5" customHeight="1" x14ac:dyDescent="0.25">
      <c r="A10" s="7">
        <v>342</v>
      </c>
      <c r="B10" s="7">
        <v>65</v>
      </c>
      <c r="C10" s="5">
        <v>1.5</v>
      </c>
      <c r="D10" s="5" t="s">
        <v>9</v>
      </c>
      <c r="E10" s="5">
        <f t="shared" si="0"/>
        <v>2778750</v>
      </c>
      <c r="F10" s="5">
        <f t="shared" si="1"/>
        <v>1.9214935416392849E-6</v>
      </c>
      <c r="G10" s="5">
        <f t="shared" si="2"/>
        <v>1446140692010.5303</v>
      </c>
      <c r="H10" s="6">
        <f t="shared" si="3"/>
        <v>25709167857.964981</v>
      </c>
      <c r="I10" s="5">
        <f t="shared" si="4"/>
        <v>56.25</v>
      </c>
    </row>
    <row r="11" spans="1:11" ht="22.5" customHeight="1" x14ac:dyDescent="0.25">
      <c r="A11" s="5">
        <v>348</v>
      </c>
      <c r="B11" s="5">
        <v>55</v>
      </c>
      <c r="C11" s="5">
        <v>1.5</v>
      </c>
      <c r="D11" s="5" t="s">
        <v>9</v>
      </c>
      <c r="E11" s="5">
        <f t="shared" si="0"/>
        <v>2392500</v>
      </c>
      <c r="F11" s="5">
        <f t="shared" si="1"/>
        <v>1.9214935416392849E-6</v>
      </c>
      <c r="G11" s="5">
        <f t="shared" si="2"/>
        <v>1245125184214.1946</v>
      </c>
      <c r="H11" s="6">
        <f t="shared" si="3"/>
        <v>22135558830.474571</v>
      </c>
      <c r="I11" s="5">
        <f t="shared" si="4"/>
        <v>56.25</v>
      </c>
    </row>
    <row r="12" spans="1:11" ht="22.5" customHeight="1" x14ac:dyDescent="0.25">
      <c r="A12" s="5">
        <v>416</v>
      </c>
      <c r="B12" s="5">
        <v>56.5</v>
      </c>
      <c r="C12" s="5">
        <v>1.5</v>
      </c>
      <c r="D12" s="5" t="s">
        <v>9</v>
      </c>
      <c r="E12" s="5">
        <f t="shared" si="0"/>
        <v>2938000</v>
      </c>
      <c r="F12" s="5">
        <f t="shared" si="1"/>
        <v>1.9214935416392849E-6</v>
      </c>
      <c r="G12" s="5">
        <f t="shared" si="2"/>
        <v>1529018930500.0225</v>
      </c>
      <c r="H12" s="6">
        <f t="shared" si="3"/>
        <v>27182558764.444843</v>
      </c>
      <c r="I12" s="5">
        <f t="shared" si="4"/>
        <v>56.25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Morales, Abdon</cp:lastModifiedBy>
  <dcterms:modified xsi:type="dcterms:W3CDTF">2025-11-11T03:49:58Z</dcterms:modified>
</cp:coreProperties>
</file>
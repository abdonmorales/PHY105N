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A bit confused on how yall calculated the uncertainty for V, using V/I. Given that the uncertainty for V would be V +/- 0.01V?
	-Abdon Morales</t>
      </text>
    </comment>
  </commentList>
</comments>
</file>

<file path=xl/sharedStrings.xml><?xml version="1.0" encoding="utf-8"?>
<sst xmlns="http://schemas.openxmlformats.org/spreadsheetml/2006/main" count="22" uniqueCount="19">
  <si>
    <t>Device</t>
  </si>
  <si>
    <t>V (voltage)</t>
  </si>
  <si>
    <t>I (current)</t>
  </si>
  <si>
    <t>Uncertainty for V</t>
  </si>
  <si>
    <t>Unceeinrity for I</t>
  </si>
  <si>
    <t>R (resistance)</t>
  </si>
  <si>
    <t>Propgated Uncertainty of R</t>
  </si>
  <si>
    <t>R=V/I</t>
  </si>
  <si>
    <t>Lightbulb</t>
  </si>
  <si>
    <t>measuring current (a)</t>
  </si>
  <si>
    <t>CURRENT WILL HAVE A +/- 0.002</t>
  </si>
  <si>
    <t>VOLTAGE WILL HAVE V +/- .01 V</t>
  </si>
  <si>
    <t>Rheostat</t>
  </si>
  <si>
    <t>will be doing a chi squared, not a t score</t>
  </si>
  <si>
    <t>Propgate uncerntiat for the Valued R which was V/I</t>
  </si>
  <si>
    <t>L (inches)</t>
  </si>
  <si>
    <t>Uncertainty for I</t>
  </si>
  <si>
    <t>Propogated Uncertainty for R</t>
  </si>
  <si>
    <t>NEED TO PROPAGATE UNCERTAINTY FOR R VALUES IN PART 2 AS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</si>
</sst>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3" fontId="2" numFmtId="0" xfId="0" applyAlignment="1" applyBorder="1" applyFill="1" applyFont="1">
      <alignment horizontal="right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9" displayName="Ohms_of_Lightbulb_vs._Rheostat" name="Ohms_of_Lightbulb_vs._Rheostat" id="1">
  <tableColumns count="7">
    <tableColumn name="Device" id="1"/>
    <tableColumn name="V (voltage)" id="2"/>
    <tableColumn name="I (current)" id="3"/>
    <tableColumn name="Uncertainty for V" id="4"/>
    <tableColumn name="Unceeinrity for I" id="5"/>
    <tableColumn name="R (resistance)" id="6"/>
    <tableColumn name="Propgated Uncertainty of R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2:F29" displayName="Resistance_and_Wire_Length" name="Resistance_and_Wire_Length" id="2">
  <tableColumns count="6">
    <tableColumn name="L (inches)" id="1"/>
    <tableColumn name="V (voltage)" id="2"/>
    <tableColumn name="I (current)" id="3"/>
    <tableColumn name="R (resistance)" id="4"/>
    <tableColumn name="Uncertainty for I" id="5"/>
    <tableColumn name="Propogated Uncertainty for R" id="6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12.75"/>
    <col customWidth="1" min="4" max="4" width="15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/>
      <c r="B2" s="5"/>
      <c r="C2" s="4"/>
      <c r="E2" s="6"/>
      <c r="F2" s="6"/>
      <c r="G2" s="6"/>
      <c r="H2" s="7" t="s">
        <v>7</v>
      </c>
    </row>
    <row r="3" ht="22.5" customHeight="1">
      <c r="A3" s="4" t="s">
        <v>8</v>
      </c>
      <c r="B3" s="5">
        <v>5.0</v>
      </c>
      <c r="C3" s="4">
        <v>0.698</v>
      </c>
      <c r="D3" s="4">
        <v>0.01</v>
      </c>
      <c r="E3" s="8">
        <v>0.002</v>
      </c>
      <c r="F3" s="6">
        <f t="shared" ref="F3:F10" si="1">DIVIDE(B3,C3)</f>
        <v>7.163323782</v>
      </c>
      <c r="G3" s="6">
        <f t="shared" ref="G3:G10" si="2">SQRT((D3/C3)^2+((B3*E3)/(C3^2))^2)</f>
        <v>0.02503078254</v>
      </c>
    </row>
    <row r="4" ht="22.5" customHeight="1">
      <c r="B4" s="5">
        <v>6.0</v>
      </c>
      <c r="C4" s="4">
        <v>0.758</v>
      </c>
      <c r="D4" s="4">
        <v>0.01</v>
      </c>
      <c r="E4" s="8">
        <v>0.002</v>
      </c>
      <c r="F4" s="6">
        <f t="shared" si="1"/>
        <v>7.915567282</v>
      </c>
      <c r="G4" s="6">
        <f t="shared" si="2"/>
        <v>0.02470313793</v>
      </c>
      <c r="H4" s="7" t="s">
        <v>9</v>
      </c>
    </row>
    <row r="5" ht="22.5" customHeight="1">
      <c r="B5" s="5">
        <v>7.0</v>
      </c>
      <c r="C5" s="4">
        <v>0.822</v>
      </c>
      <c r="D5" s="4">
        <v>0.01</v>
      </c>
      <c r="E5" s="8">
        <v>0.002</v>
      </c>
      <c r="F5" s="6">
        <f t="shared" si="1"/>
        <v>8.515815085</v>
      </c>
      <c r="G5" s="6">
        <f t="shared" si="2"/>
        <v>0.0240271929</v>
      </c>
    </row>
    <row r="6" ht="22.5" customHeight="1">
      <c r="B6" s="5">
        <v>8.0</v>
      </c>
      <c r="C6" s="4">
        <v>0.873</v>
      </c>
      <c r="D6" s="4">
        <v>0.01</v>
      </c>
      <c r="E6" s="8">
        <v>0.002</v>
      </c>
      <c r="F6" s="6">
        <f t="shared" si="1"/>
        <v>9.163802978</v>
      </c>
      <c r="G6" s="6">
        <f t="shared" si="2"/>
        <v>0.02391551617</v>
      </c>
      <c r="H6" s="7" t="s">
        <v>10</v>
      </c>
    </row>
    <row r="7" ht="22.5" customHeight="1">
      <c r="B7" s="5">
        <v>9.0</v>
      </c>
      <c r="C7" s="4">
        <v>0.928</v>
      </c>
      <c r="D7" s="4">
        <v>0.01</v>
      </c>
      <c r="E7" s="8">
        <v>0.002</v>
      </c>
      <c r="F7" s="6">
        <f t="shared" si="1"/>
        <v>9.698275862</v>
      </c>
      <c r="G7" s="6">
        <f t="shared" si="2"/>
        <v>0.02351574135</v>
      </c>
      <c r="H7" s="7" t="s">
        <v>11</v>
      </c>
    </row>
    <row r="8" ht="22.5" customHeight="1">
      <c r="B8" s="5">
        <v>10.0</v>
      </c>
      <c r="C8" s="4">
        <v>0.978</v>
      </c>
      <c r="D8" s="4">
        <v>0.01</v>
      </c>
      <c r="E8" s="8">
        <v>0.002</v>
      </c>
      <c r="F8" s="6">
        <f t="shared" si="1"/>
        <v>10.22494888</v>
      </c>
      <c r="G8" s="6">
        <f t="shared" si="2"/>
        <v>0.02327604267</v>
      </c>
      <c r="H8" s="7"/>
    </row>
    <row r="9" ht="22.5" customHeight="1">
      <c r="B9" s="5">
        <v>11.0</v>
      </c>
      <c r="C9" s="4">
        <v>1.025</v>
      </c>
      <c r="D9" s="4">
        <v>0.01</v>
      </c>
      <c r="E9" s="8">
        <v>0.002</v>
      </c>
      <c r="F9" s="6">
        <f t="shared" si="1"/>
        <v>10.73170732</v>
      </c>
      <c r="G9" s="6">
        <f t="shared" si="2"/>
        <v>0.02310111581</v>
      </c>
    </row>
    <row r="10" ht="22.5" customHeight="1">
      <c r="B10" s="5">
        <v>12.0</v>
      </c>
      <c r="C10" s="4">
        <v>1.071</v>
      </c>
      <c r="D10" s="4">
        <v>0.01</v>
      </c>
      <c r="E10" s="8">
        <v>0.002</v>
      </c>
      <c r="F10" s="6">
        <f t="shared" si="1"/>
        <v>11.20448179</v>
      </c>
      <c r="G10" s="6">
        <f t="shared" si="2"/>
        <v>0.02291221497</v>
      </c>
    </row>
    <row r="11" ht="22.5" customHeight="1">
      <c r="A11" s="8"/>
      <c r="B11" s="9"/>
      <c r="C11" s="8"/>
      <c r="E11" s="6"/>
      <c r="F11" s="6"/>
      <c r="G11" s="6"/>
    </row>
    <row r="12" ht="22.5" customHeight="1">
      <c r="A12" s="8" t="s">
        <v>12</v>
      </c>
      <c r="B12" s="9">
        <v>5.0</v>
      </c>
      <c r="C12" s="8">
        <v>0.032</v>
      </c>
      <c r="D12" s="4">
        <v>0.01</v>
      </c>
      <c r="E12" s="10">
        <v>0.002</v>
      </c>
      <c r="F12" s="6">
        <f t="shared" ref="F12:F19" si="3">DIVIDE(B12,C12)</f>
        <v>156.25</v>
      </c>
      <c r="G12" s="6">
        <f t="shared" ref="G12:G19" si="4">SQRT((D12/C12)^2+((B12*E12)/(C12^2))^2)</f>
        <v>9.770623721</v>
      </c>
      <c r="H12" s="7" t="s">
        <v>13</v>
      </c>
    </row>
    <row r="13" ht="22.5" customHeight="1">
      <c r="A13" s="6"/>
      <c r="B13" s="9">
        <v>6.0</v>
      </c>
      <c r="C13" s="8">
        <v>0.038</v>
      </c>
      <c r="D13" s="4">
        <v>0.01</v>
      </c>
      <c r="E13" s="11">
        <v>0.002</v>
      </c>
      <c r="F13" s="6">
        <f t="shared" si="3"/>
        <v>157.8947368</v>
      </c>
      <c r="G13" s="6">
        <f t="shared" si="4"/>
        <v>8.31441493</v>
      </c>
      <c r="H13" s="7" t="s">
        <v>14</v>
      </c>
    </row>
    <row r="14" ht="22.5" customHeight="1">
      <c r="A14" s="6"/>
      <c r="B14" s="9">
        <v>7.0</v>
      </c>
      <c r="C14" s="8">
        <v>0.044</v>
      </c>
      <c r="D14" s="4">
        <v>0.01</v>
      </c>
      <c r="E14" s="12">
        <v>0.002</v>
      </c>
      <c r="F14" s="6">
        <f t="shared" si="3"/>
        <v>159.0909091</v>
      </c>
      <c r="G14" s="6">
        <f t="shared" si="4"/>
        <v>7.234975506</v>
      </c>
    </row>
    <row r="15" ht="22.5" customHeight="1">
      <c r="A15" s="6"/>
      <c r="B15" s="9">
        <v>8.0</v>
      </c>
      <c r="C15" s="8">
        <v>0.051</v>
      </c>
      <c r="D15" s="4">
        <v>0.01</v>
      </c>
      <c r="E15" s="11">
        <v>0.002</v>
      </c>
      <c r="F15" s="6">
        <f t="shared" si="3"/>
        <v>156.8627451</v>
      </c>
      <c r="G15" s="6">
        <f t="shared" si="4"/>
        <v>6.154604407</v>
      </c>
    </row>
    <row r="16" ht="22.5" customHeight="1">
      <c r="A16" s="6"/>
      <c r="B16" s="9">
        <v>9.0</v>
      </c>
      <c r="C16" s="8">
        <v>0.057</v>
      </c>
      <c r="D16" s="4">
        <v>0.01</v>
      </c>
      <c r="E16" s="12">
        <v>0.002</v>
      </c>
      <c r="F16" s="6">
        <f t="shared" si="3"/>
        <v>157.8947368</v>
      </c>
      <c r="G16" s="6">
        <f t="shared" si="4"/>
        <v>5.542943287</v>
      </c>
    </row>
    <row r="17" ht="22.5" customHeight="1">
      <c r="A17" s="6"/>
      <c r="B17" s="9">
        <v>10.0</v>
      </c>
      <c r="C17" s="8">
        <v>0.064</v>
      </c>
      <c r="D17" s="4">
        <v>0.01</v>
      </c>
      <c r="E17" s="11">
        <v>0.002</v>
      </c>
      <c r="F17" s="6">
        <f t="shared" si="3"/>
        <v>156.25</v>
      </c>
      <c r="G17" s="6">
        <f t="shared" si="4"/>
        <v>4.88531186</v>
      </c>
    </row>
    <row r="18" ht="22.5" customHeight="1">
      <c r="A18" s="6"/>
      <c r="B18" s="9">
        <v>11.0</v>
      </c>
      <c r="C18" s="8">
        <v>0.069</v>
      </c>
      <c r="D18" s="4">
        <v>0.01</v>
      </c>
      <c r="E18" s="12">
        <v>0.002</v>
      </c>
      <c r="F18" s="6">
        <f t="shared" si="3"/>
        <v>159.4202899</v>
      </c>
      <c r="G18" s="6">
        <f t="shared" si="4"/>
        <v>4.623150135</v>
      </c>
    </row>
    <row r="19" ht="22.5" customHeight="1">
      <c r="A19" s="6"/>
      <c r="B19" s="9">
        <v>12.0</v>
      </c>
      <c r="C19" s="8">
        <v>0.075</v>
      </c>
      <c r="D19" s="4">
        <v>0.01</v>
      </c>
      <c r="E19" s="11">
        <v>0.002</v>
      </c>
      <c r="F19" s="6">
        <f t="shared" si="3"/>
        <v>160</v>
      </c>
      <c r="G19" s="6">
        <f t="shared" si="4"/>
        <v>4.268749492</v>
      </c>
    </row>
    <row r="22" ht="22.5" customHeight="1">
      <c r="A22" s="2" t="s">
        <v>15</v>
      </c>
      <c r="B22" s="2" t="s">
        <v>1</v>
      </c>
      <c r="C22" s="2" t="s">
        <v>2</v>
      </c>
      <c r="D22" s="2" t="s">
        <v>5</v>
      </c>
      <c r="E22" s="2" t="s">
        <v>16</v>
      </c>
      <c r="F22" s="2" t="s">
        <v>17</v>
      </c>
    </row>
    <row r="23" ht="22.5" customHeight="1">
      <c r="A23" s="4">
        <v>0.0</v>
      </c>
      <c r="B23" s="4">
        <v>6.0</v>
      </c>
      <c r="C23" s="4">
        <v>0.017</v>
      </c>
      <c r="D23" s="13">
        <f t="shared" ref="D23:D29" si="5">B23/C23</f>
        <v>352.9411765</v>
      </c>
      <c r="E23" s="10">
        <v>0.002</v>
      </c>
      <c r="F23" s="13">
        <f t="shared" ref="F23:F29" si="6">SQRT((0.4/C23)^2 + ((B23*E23)/(C23^2))^2)</f>
        <v>47.7257845</v>
      </c>
    </row>
    <row r="24" ht="22.5" customHeight="1">
      <c r="A24" s="4">
        <v>1.0</v>
      </c>
      <c r="B24" s="4">
        <v>6.0</v>
      </c>
      <c r="C24" s="4">
        <v>0.02</v>
      </c>
      <c r="D24" s="13">
        <f t="shared" si="5"/>
        <v>300</v>
      </c>
      <c r="E24" s="11">
        <v>0.002</v>
      </c>
      <c r="F24" s="13">
        <f t="shared" si="6"/>
        <v>36.05551275</v>
      </c>
    </row>
    <row r="25" ht="22.5" customHeight="1">
      <c r="A25" s="4">
        <v>2.0</v>
      </c>
      <c r="B25" s="4">
        <v>6.0</v>
      </c>
      <c r="C25" s="4">
        <v>0.025</v>
      </c>
      <c r="D25" s="13">
        <f t="shared" si="5"/>
        <v>240</v>
      </c>
      <c r="E25" s="12">
        <v>0.002</v>
      </c>
      <c r="F25" s="13">
        <f t="shared" si="6"/>
        <v>24.99279896</v>
      </c>
      <c r="H25" s="7" t="s">
        <v>18</v>
      </c>
    </row>
    <row r="26" ht="22.5" customHeight="1">
      <c r="A26" s="4">
        <v>3.0</v>
      </c>
      <c r="B26" s="4">
        <v>6.0</v>
      </c>
      <c r="C26" s="4">
        <v>0.033</v>
      </c>
      <c r="D26" s="13">
        <f t="shared" si="5"/>
        <v>181.8181818</v>
      </c>
      <c r="E26" s="11">
        <v>0.002</v>
      </c>
      <c r="F26" s="13">
        <f t="shared" si="6"/>
        <v>16.38134297</v>
      </c>
    </row>
    <row r="27" ht="22.5" customHeight="1">
      <c r="A27" s="4">
        <v>4.0</v>
      </c>
      <c r="B27" s="4">
        <v>6.0</v>
      </c>
      <c r="C27" s="4">
        <v>0.048</v>
      </c>
      <c r="D27" s="13">
        <f t="shared" si="5"/>
        <v>125</v>
      </c>
      <c r="E27" s="12">
        <v>0.002</v>
      </c>
      <c r="F27" s="13">
        <f t="shared" si="6"/>
        <v>9.827063679</v>
      </c>
    </row>
    <row r="28" ht="22.5" customHeight="1">
      <c r="A28" s="4">
        <v>5.0</v>
      </c>
      <c r="B28" s="4">
        <v>6.0</v>
      </c>
      <c r="C28" s="4">
        <v>0.086</v>
      </c>
      <c r="D28" s="13">
        <f t="shared" si="5"/>
        <v>69.76744186</v>
      </c>
      <c r="E28" s="11">
        <v>0.002</v>
      </c>
      <c r="F28" s="13">
        <f t="shared" si="6"/>
        <v>4.926034629</v>
      </c>
    </row>
    <row r="29" ht="22.5" customHeight="1">
      <c r="A29" s="4">
        <v>6.0</v>
      </c>
      <c r="B29" s="4">
        <v>6.0</v>
      </c>
      <c r="C29" s="4">
        <v>0.736</v>
      </c>
      <c r="D29" s="13">
        <f t="shared" si="5"/>
        <v>8.152173913</v>
      </c>
      <c r="E29" s="12">
        <v>0.002</v>
      </c>
      <c r="F29" s="13">
        <f t="shared" si="6"/>
        <v>0.5439295541</v>
      </c>
    </row>
  </sheetData>
  <dataValidations>
    <dataValidation type="custom" allowBlank="1" showDropDown="1" sqref="B2:B19">
      <formula1>AND(ISNUMBER(B2),(NOT(OR(NOT(ISERROR(DATEVALUE(B2))), AND(ISNUMBER(B2), LEFT(CELL("format", B2))="D")))))</formula1>
    </dataValidation>
  </dataValidations>
  <drawing r:id="rId2"/>
  <legacyDrawing r:id="rId3"/>
  <tableParts count="2">
    <tablePart r:id="rId6"/>
    <tablePart r:id="rId7"/>
  </tableParts>
</worksheet>
</file>